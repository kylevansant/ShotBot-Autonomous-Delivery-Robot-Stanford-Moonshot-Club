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<sst xmlns="http://schemas.openxmlformats.org/spreadsheetml/2006/main" count="61" uniqueCount="61">
  <si>
    <t>Item</t>
  </si>
  <si>
    <t>cost</t>
  </si>
  <si>
    <t>quantity</t>
  </si>
  <si>
    <t>total cost</t>
  </si>
  <si>
    <t>URL</t>
  </si>
  <si>
    <t>Total Spent</t>
  </si>
  <si>
    <t>ESP32</t>
  </si>
  <si>
    <t>https://www.amazon.com/ESP-WROOM-32-Development-Microcontroller-Integrated-Compatible/dp/B08D5ZD528?th=1</t>
  </si>
  <si>
    <t>Prototype 1</t>
  </si>
  <si>
    <t>Track</t>
  </si>
  <si>
    <t>https://www.robotshop.com/products/servocity-48mm-grid-track-24mm-pitch-48mm-width-6-pack?pr_prod_strat=e5_desc&amp;pr_rec_id=7dcba0a92&amp;pr_rec_pid=14775014228332&amp;pr_ref_pid=14775014490476&amp;pr_seq=uniform</t>
  </si>
  <si>
    <t>Prototype 2</t>
  </si>
  <si>
    <t>Motors</t>
  </si>
  <si>
    <t>https://www.servocity.com/118-rpm-hd-premium-planetary-gear-motor/</t>
  </si>
  <si>
    <t>worm gear motor</t>
  </si>
  <si>
    <t>https://www.amazon.com/uxcell-Double-Torque-Reduction-Gearbox/dp/B078VTXSVY/ref=sr_1_1?crid=1G2099UVJ3SUR&amp;dib=eyJ2IjoiMSJ9.5RmDrOal7UNmEycYOGsHTnP5pjme3o3lg0no3h-PVbRW8tMADG6br3qyZc-6hBi-_XbTVHutZS3d-3fzkZJ7ysSihi1eyBQJKat1lSLN3ZlVAjBMee3GNK3I0zoHLFIn2-MONXRE3PlyPjHE8MMnABiTxb8q5tsFjjykqIsoQwa57vuvECDsgGB5jpOSQl7PmXJ6iLICR0DJHHe8rTLKcoDaJACG3QPP5GBUgdBupt36zWQCPJzyiTtSj74YewWoHsn8EDzfp4ggxCaYyU6gloq_w8Sjf8AyztAhMcFeEgU.JMhD46oAc1RvG0-cZ-N6e5zA8JGVL7wA3dXjJqseQqU&amp;dib_tag=se&amp;keywords=24v%2Bworm%2Bduel%2Bshaft%2Bgear%2Bmotor&amp;qid=1762662603&amp;sprefix=24v%2Bworm%2Bduel%2Bshaftgear%2Bmotor%2Caps%2C166&amp;sr=8-1&amp;th=1</t>
  </si>
  <si>
    <t>Total Superseded</t>
  </si>
  <si>
    <t>couplers</t>
  </si>
  <si>
    <t>https://www.amazon.com/Coupling-Connector-Coupler-Accessory-Fittings/dp/B08335MYGW/ref=pd_day0fbt_hardlines_thbs_d_sccl_1/141-3286737-7243118?pd_rd_w=Hx6EJ&amp;content-id=amzn1.sym.06aea998-aa9c-454e-b467-b476407c7977&amp;pf_rd_p=06aea998-aa9c-454e-b467-b476407c7977&amp;pf_rd_r=APXFED7YAKCMCEB3JA72&amp;pd_rd_wg=DarOk&amp;pd_rd_r=84bc0598-be3b-472a-a7fa-ac86a6e333b7&amp;pd_rd_i=B08335MYGW&amp;th=1</t>
  </si>
  <si>
    <t>BTS 7960</t>
  </si>
  <si>
    <t>https://www.amazon.com/JESSINIE-BTN7960-Driver-Arduino-Current/dp/B0C1C3LKKM/ref=sr_1_5_sspa?crid=3ECQTWPQJ05CR&amp;dib=eyJ2IjoiMSJ9.H8PovZro5hjo967P7VdL1-9bA6FEtEAiSzXUEP0f0EXGjHj071QN20LucGBJIEps.IHQSPMDGEtf-m-lBHp9jdMa6qT3Y9nrKXL4oN4173l0&amp;dib_tag=se&amp;keywords=bts+7960&amp;qid=1762500686&amp;s=electronics&amp;sprefix=bts+7960%2Celectronics%2C145&amp;sr=1-5-spons&amp;sp_csd=d2lkZ2V0TmFtZT1zcF9idGY&amp;psc=1</t>
  </si>
  <si>
    <t>battery</t>
  </si>
  <si>
    <t>https://www.amazon.com/Zeee-Batteries-Connector-Helicopter-Quadcopter/dp/B0972RKJDS/ref=sr_1_8?crid=2XGB5P6T09TZ0&amp;dib=eyJ2IjoiMSJ9.v1FF2P4XIDs1FIQKUzDfUcxE64F96wg9Bb72gFdjRRqoVofJgVvzjZQMLe5Pk6iROI2PaFwdWk2dlpeomClEeoI9SLeaeZ2q_yH-eVUPJJCa-t8b3kuTKp_szDyFifY6GdoMo1jLXp_JdLv74gC7vuYpm7BzR2mPq5FMrD8IMFK1BF8IhypTS3pW46fhoZ_MBdDc6bgUWVyCnpyF-A2RcFfaAaeZ4S0LQzn-Gt5KbcqsQoXlDyLg1lq2lD-POLY8XVRSv6f6q97cMw2D0reConR9ptdWKicIisOgPpxyFQA.tKW52m4SXEK-GDPbdMKBsC_By3PjzTli3IpCbm3MmeE&amp;dib_tag=se&amp;keywords=12v+lipo+battery+s3&amp;qid=1762841090&amp;sprefix=12v+lipo+battery+s%2Caps%2C241&amp;sr=8-8</t>
  </si>
  <si>
    <t>buck converter</t>
  </si>
  <si>
    <t>https://www.amazon.com/Converter-Adjustable-Regulator-Voltmeter-Display%EF%BC%88Pack/dp/B0F1M2SR31/ref=sr_1_2_sspa?crid=3M8ST5GHCMT23&amp;dib=eyJ2IjoiMSJ9.uUtIWVmXQHabkPUwwmhYCo07FhDjUB34fCUmPUWvbCi_5OGdgnlgdIluH02tSxBd9ko5kN-AVlTrcmJCyxu3U7XZNWhtoU1EeioxJdTqyxL1a7tzFL4TBRZkTAIcLTSKeyX4lw42dcDeccofDsjWA5FoK4OuC4iyYuMi-1cmNeUkjNNIdzLxIle_Ab7H-MSIahrCI6BWVrIws1pZwmYGzCrbf8N-ttwt3ySYcmodEz0.rHr2tpIcNxhMmRLmhq56sQ0NWZY3yv2l9lBLPHSF43c&amp;dib_tag=se&amp;keywords=5v%2Bbuck%2Bconverter&amp;qid=1762501024&amp;sprefix=5v%2Bbuck%2B%2Caps%2C164&amp;sr=8-2-spons&amp;sp_csd=d2lkZ2V0TmFtZT1zcF9hdGY&amp;th=1</t>
  </si>
  <si>
    <t>XT60 connector</t>
  </si>
  <si>
    <t>https://www.amazon.com/TMH-Connector-Female-Connectors-Battery/dp/B0D35B8JWG/ref=sr_1_2_sspa?crid=3H9UKAAIS76IY&amp;dib=eyJ2IjoiMSJ9.R41iBTDwIm3wLXFBfh8z5j1-OytKMtZLB5YCQCseE8ia1OkapX0ZnhIgrZJ3PHsm_iOPJ0gJsYDXJhqwwsF3N5SATE4-JqrNKnqw1Bt9fTSF5Z2ZbsEcVjuJnTvSqnq50X-GGTW9lajkAgHAPtstJ4mqH6PJ06wRwv0i7SZL9O176u92RJdmgAW_BY6R6zEeKtrwfHxIOXkNpQq7CMgsdrqj8VPaQEEYxqjBv22oavdDf-1UEMlaxC5MI_l-2cTcaL_r91X-TYzimgCKAdhjNCkP16VL7gJjqMkYNM9-3yQ.i3AQhpwaqc1oe8aSyRL0Fe9AY99GW-CHVVcTxssOfEI&amp;dib_tag=se&amp;keywords=XT60%2Bfemale&amp;qid=1762501159&amp;refinements=p_36%3A-600&amp;rnid=2661611011&amp;sprefix=xt60%2Bfemal%2Caps%2C180&amp;sr=8-2-spons&amp;sp_csd=d2lkZ2V0TmFtZT1zcF9hdGY&amp;th=1</t>
  </si>
  <si>
    <t>IMU</t>
  </si>
  <si>
    <t>https://www.amazon.com/Gyroscope-Acceleration-Magnetic-Accelerator-Magnetometer/dp/B0B6ZRH4RQ/ref=sr_1_6?crid=ML2D3YPTED25&amp;dib=eyJ2IjoiMSJ9.fdsLNWhZyGlzR789Gj5VZI9JxZOEwu6ofdVgQxHwPUhK2sv170NTc8z5CaLZbp1hQ6ev9nMamltyrZJseaho5vivjU4M6-bZ5GaqtpwhNgjnvHSoAuJFWDBDwNFZI2HuXE6C9_66BbEWsMlF4RmrIUNEN7Fr1dXP3-xDT8qhlGb9XC7MbtC2P40YJDFhUc3GPEbShoutZVAHW_yUUy0WQRuH06chnbQMIuJq6F3CC1s.HRWrr9PB12UIKF1bXAXj1jd9QgOGF5WOENE1zWF6iOg&amp;dib_tag=se&amp;keywords=IMU&amp;qid=1762501299&amp;sprefix=imu%2Caps%2C202&amp;sr=8-6</t>
  </si>
  <si>
    <t>Makerbeam Kit</t>
  </si>
  <si>
    <t>https://www.amazon.com/MakerBeam-Regular-anodized-including-brackets/dp/B00BBH3LZC/ref=sr_1_2?dib=eyJ2IjoiMSJ9.VZ_z6fzEN2mPtTELsiu-NGgZl8u0umDm4okEIGOwl2rPOXwtDdG7u3NadB8TM_ytg2PmG2LKNEwPjdZtyObCJXMM5dbAI7iIq9EgGSpolbF8IRMAubDFiWS3ibNcvxfZdowxYYrsk1OYYHuqHpGUCX4uyF5guedURll2qaQOzKbkSCsaAQcdAcLDVRxU04z43ZUbz_e87Teb_p4PgO3bRHInl1KyLfDf-5HsKtw_46I.ZU3DnsBSXCXffxqp8wGHDJqL1SPpv_oLBpb882RsLvU&amp;dib_tag=se&amp;keywords=makerbeam&amp;qid=1762652539&amp;sr=8-2</t>
  </si>
  <si>
    <t>Flat Urethane Belt</t>
  </si>
  <si>
    <t>https://www.amazon.com/Orange-Flat-Urethane-10ft-Section/dp/B0BSVKCQHR/ref=sr_1_3?crid=20DMW5O832EIU&amp;dib=eyJ2IjoiMSJ9.7wOiiveAQxnBgG842RlGjOj6T9HTdaBUXNp409cy1RjztRJHd-sNbm5fWc_EQm1FA9Ru3nJxiCC4XEoA7XPgukxt4qbmR9Pls0k44vcJj-mAMkgqkYM4Lj2d0o8DNVbJAefbW6XKXuJdTGhf_rXACDCSXe4u_TT68MPEC2afkAiDzOXbAK9LJumk2IZJDjgU4_-9iacceJyBwOs40GNlQWt5LZN5NPb9wxCOD7_8rzg.nkChQRA6LSo-Z_QZ20REEtQ-japPrDvmtm_Tp_t63E0&amp;dib_tag=se&amp;keywords=flat+urethane+belt&amp;qid=1762653013&amp;sprefix=flat+urethane+belt%2Caps%2C144&amp;sr=8-3</t>
  </si>
  <si>
    <t>Flat Urethane Belt 2</t>
  </si>
  <si>
    <t>https://www.amazon.com/dp/B0BSVK8744/ref=sspa_dk_detail_right_aax_0?psc=1&amp;sp_csd=d2lkZ2V0TmFtZT1zcF9kZXRhaWxfcmlnaHRfc2hhcmVk</t>
  </si>
  <si>
    <t>8mm shafts</t>
  </si>
  <si>
    <t>https://www.amazon.com/TOP-VIGOR-Stainless-Steel-Helicopter-Airplane/dp/B0CDQDS1BL/ref=sr_1_2_sspa?adgrpid=185084441223&amp;dib=eyJ2IjoiMSJ9.2Ma55forpp4jsCSF_ZWGmALTnc4l4yealXQjlUzbexEqRUEMnCgdn1FaN9N8kjCVoXx6pqxfdgTKAFebD3TP7nuDPhojxYEWjHsn5lkNvdFZ-G5D2gMv-WgBQSgEcdNhc3exyR8rAufqGAqKTZy1cihHPp_4FXk3MHWzADQ8NDaUcFZIZCb8Js2gV6oVKknjbVnAi_uRLXqKOGHsTvLZR-xfezGCLNlE04mRoSpjcsI.pYUnyQ-7d0BJCtNSqUJGPsHKNPbqlrRSAmti6N2XQcI&amp;dib_tag=se&amp;hvadid=779622218290&amp;hvdev=c&amp;hvexpln=0&amp;hvlocphy=1014301&amp;hvnetw=g&amp;hvocijid=3249315994886364687--&amp;hvqmt=b&amp;hvrand=3249315994886364687&amp;hvtargid=kwd-1960634484625&amp;hydadcr=10518_13489779_2116378&amp;keywords=8mm%2Bround%2Bshaft&amp;mcid=e933dd284348360995919aa082402817&amp;qid=1762821835&amp;sr=8-2-spons&amp;sp_csd=d2lkZ2V0TmFtZT1zcF9hdGY&amp;th=1</t>
  </si>
  <si>
    <t>Camera</t>
  </si>
  <si>
    <t>https://www.amazon.com/Seeed-Studio-XIAO-ESP32-Sense/dp/B0C69FFVHH/ref=sr_1_1_sspa?dib=eyJ2IjoiMSJ9.uGzxDBI7mZMgoN1JZlfHtAyExzenaZDJfKxUhNcb7zmiZ6yei-ak3dbslOG0isDebU3qENsaP-1ji4vnjAJ5Tz7dmwar5BSyHFlS19LsV8IYuI8tkT71itN84NmCx95jskV25-ttcqHbYGPKnQ4t6F5H2x5MLK2t-Xe2IRcRQYI41fKZjAW3JlEubd5WI-j7Pi-VIG5gn1xA-kpj0T3R2RDe6_licNHOezhA3auPBFs.j_kxDjrhrNELOvtaO91SjuEuPczyjiUw78ir202DliY&amp;dib_tag=se&amp;keywords=ov2640&amp;qid=1762836453&amp;sr=8-1-spons&amp;sp_csd=d2lkZ2V0TmFtZT1zcF9hdGY&amp;th=1</t>
  </si>
  <si>
    <t>brass Standoff kit</t>
  </si>
  <si>
    <t>https://www.amazon.com/Standoff-Threaded-Motherboard-Assortment-Mounting/dp/B06XQ33Y9X/ref=sr_1_10?crid=1RD71UHQZQ3KM&amp;dib=eyJ2IjoiMSJ9.yhbYgyCr_kLJjID-zSMEeS54DTzkLBmaNtYY0BIWghrC2dZ0nheptCSHdBGI99XUTozBo_2yTAZPp0Lt867arpvlqYVohTljYag6krBmAq2ELvXrxDU9ZB5HOBSkhmHCUmvLbR8jujRw0HFP5QZmGMYQBJTc4UjIPF4gTn0YUt6Prk1_-ObwKGbOvNCsO-z4YMg8PVRxLwVhwm5zjOioohGwWgxjYPflNX--hnhIvUQ.5mIKQhJX8BvXETWwugdTcIHvaqpExLbtjd_CvX-rYJ4&amp;dib_tag=se&amp;keywords=m3%2Bbrass%2Bstandoff&amp;qid=1762840470&amp;sprefix=m3%2Bbrass%2Bstan%2Caps%2C260&amp;sr=8-10&amp;th=1</t>
  </si>
  <si>
    <t>battery charger</t>
  </si>
  <si>
    <t>https://www.amazon.com/B6-Battery-Charger-Discharger-Connectors/dp/B0F2H3XR6S/ref=sr_1_5?dib=eyJ2IjoiMSJ9.J6NiIRdBbpHM7Z7CPaXDYzw_esRBHNoXOl_DiUOlAV-XOKgIS2tf8fGl7tT6kekDEHyPrKOAttjRb2OG-mJxhlXXjV-6yZeQLR7UJShfzpCMnCJb5X5fVt9GzooKxA2JcvDmBHAJCMzhUDjpNgJMWT0XFLd7QLhRklsUhbyIZyIdyvzcUht0FokxWVI5my3_yB18thtJKzCn3aqnsE0rK6pDmWMFzKPYkju7oNZGNAM7v4CiwAcPNpIhqUbD-Hm2w1aj3vkgKGO3_XT8O51ZTJB2I4ma84S_Wfz3OkJy-nI.OhBwqrtsQ0x1nt0s29_6oxNbuaCqKyQinWD7iPeDMcc&amp;dib_tag=se&amp;hvadid=409999371050&amp;hvdev=c&amp;hvexpln=0&amp;hvlocphy=1014301&amp;hvnetw=g&amp;hvocijid=1875226462794755465--&amp;hvqmt=e&amp;hvrand=1875226462794755465&amp;hvtargid=kwd-4059425871&amp;hydadcr=24634_11410133&amp;keywords=lipo+balance+charger&amp;mcid=ce071b49fd3d3a87a36e652538b443ca&amp;qid=1763236620&amp;sr=8-5</t>
  </si>
  <si>
    <t>breadboard jumper wires</t>
  </si>
  <si>
    <t>https://www.amazon.com/EDGELEC-Breadboard-Optional-Assorted-Multicolored/dp/B07GD2BWPY/ref=sr_1_1_sspa?crid=29GEJ941ACYKB&amp;dib=eyJ2IjoiMSJ9._--XVj7sIVPW5Oud9uWtGeNsF9qon6YmKD5fD7sPxAjPVwbGPdaMdRS75S4WHoHhH_HivNmGnyGV0cZIX2JQMYZJXQRd4l_6oEMQ4h-WWTwWCUA-UKhjbHcu_ekSE45A6xoNvLV95OruIb1TJrkOmQwjrK5k7PyXshGlBPOpI2FXv6y0eJDvt9P0EfZW5tk_3j5dToPf4JXnwn9smDVyqbAc0HuSewgYOPZ2zu3o3YA.Iu25oSJxMEDRE1hVyQVX4UEX6Wqv1blbnZRSzGZamgY&amp;dib_tag=se&amp;keywords=breadboard%2Bwires&amp;qid=1763236866&amp;sprefix=breadboard%2Bwires%2Caps%2C198&amp;sr=8-1-spons&amp;sp_csd=d2lkZ2V0TmFtZT1zcF9hdGY&amp;th=1</t>
  </si>
  <si>
    <t>soldering Iron kit</t>
  </si>
  <si>
    <t>https://www.amazon.com/Soldering-Adjustable-Temperature-Controlled-Thermostatic/dp/B0BYT9S65Y/ref=sr_1_12?crid=217O430H9XXYJ&amp;dib=eyJ2IjoiMSJ9.MNB3HuUsZOjz1NSstYQ0xbOGTmPLrbHNY-odksd0ftepvCOHMyB6_ejB7kYNDgX1WsfIWpuXJVJbH0QRmo8aM50N5jyIzeiU-cmSGSu-YMC8utEByU6f3hWPUi85QySfrdVBcmVPaZTd-IHjcR8ZCYuwkk0XJGH3dR-yRaXR6t41PaXTMi1uDGqhDzx0etHkPpjHP2Al6mPN9H-sMI8RpMkW489VVQ9PP_FbwWoZyly-SFXpDON5GT1QUSCrib8-e3456gvqHsb99t0TtQ3impxTrKlpHMeMVspAEjLlUJE.ZNhH-oQzdBmxw3m0CTA3S_vUD8UOtZlrWZ8FYCdKfgY&amp;dib_tag=se&amp;keywords=soldering%2Biron%2Bkit&amp;qid=1763237215&amp;sprefix=soldering%2B%2Caps%2C186&amp;sr=8-12&amp;th=1</t>
  </si>
  <si>
    <t>solder gun (do not buy)</t>
  </si>
  <si>
    <t>https://www.amazon.com/dp/B0DNFCJ77H/ref=sspa_dk_detail_4?pd_rd_i=B0DNFCJ77H&amp;pd_rd_w=leZv1&amp;content-id=amzn1.sym.386c274b-4bfe-4421-9052-a1a56db557ab&amp;pf_rd_p=386c274b-4bfe-4421-9052-a1a56db557ab&amp;pf_rd_r=5T7CYXCK2CD51A0F9S29&amp;pd_rd_wg=EQcXD&amp;pd_rd_r=39c33a58-8f06-4eac-a308-2f1174b02b4c&amp;sp_csd=d2lkZ2V0TmFtZT1zcF9kZXRhaWxfdGhlbWF0aWM&amp;th=1</t>
  </si>
  <si>
    <t>Fuses with holders</t>
  </si>
  <si>
    <t>https://www.amazon.com/Upgraded-Waterproof-Standard-YNZDRWA-Holders/dp/B0D7D25G62/ref=sr_1_3?crid=W94UNTAT2V7E&amp;dib=eyJ2IjoiMSJ9.ngDtbRNOMHo5OU1zn7-rSOGUNrqublOBCdRhXnhiBeaMrYuT5-voH4J3UAESbil1REMhYSXHMPs6ATfvqhw1Qb9vsf4zvCdKP58PioaGiN5uG-IRD6jW6HexDHHbYz9LZpI_YbRUZzicBhOIupO_vlj0dpO5tKPfLtcS7a7_QKEmzcm3332cFEcuC5WsvGRrMLEHXyd4iVaY0t2onDCkdpkmNY1c1srVAfdjf8Zikws.XTHbR862DK-Xjn_lp0OeDpu1wa8qI-9xn_6KCW4FszM&amp;dib_tag=se&amp;keywords=automotive+fuse+holders&amp;qid=1763444351&amp;sprefix=automotive+fuse+holde%2Caps%2C218&amp;sr=8-3</t>
  </si>
  <si>
    <t>Bearings</t>
  </si>
  <si>
    <t>https://www.amazon.com/SHKI/dp/B09PKD8QZZ/ref=sr_1_3?dib=eyJ2IjoiMSJ9.haGZ_PDV2P1p2xM5XTHZOPBuPDvL5uAtAJF5ZpSoipm_sHR5oIiEyo_NJ0YU6QlE0a5tf5JCLYvxBv3FXIeidOzoJIiPw54mn-7MbkHg4zb3zbSajk61FhbqQwvqm3Fq9lS3aGUdLuNkAlosvhPqQahT0ymvZ3wtXSEHot-TzXvhEL60CvPTbPsNImXqmBjInO7emIZDbOvUEH8kctaQ9QZkdDzXSxLrvhBcbiZ6W4s.dNCW3_jKNM8TlWreLIHAWt2JzYopmnOk-QYNMNTvnaw&amp;dib_tag=se&amp;keywords=bearings&amp;qid=1764278454&amp;sr=8-3&amp;th=1</t>
  </si>
  <si>
    <t>RPLidarA2M12</t>
  </si>
  <si>
    <t>https://www.robotshop.com/products/rplidar-a2m12-360-laser-range-scanner?srsltid=AfmBOoqTT4no1DPrQ6PXUhi0Q2IxvIDjTq2nKRJwAygj-XJC8PGviDw3</t>
  </si>
  <si>
    <t>Raspberry Pi  (4gb Ram)</t>
  </si>
  <si>
    <t>https://vilros.com/products/raspberry-pi-4-model-b-1?variant=40820184744030</t>
  </si>
  <si>
    <t>Raspberry Pi camera mod 3</t>
  </si>
  <si>
    <t>https://www.pishop.us/product/raspberry-pi-camera-module-3/?src=raspberrypi</t>
  </si>
  <si>
    <t>m4 screws</t>
  </si>
  <si>
    <t>https://www.amazon.com/Fgruh-Washers-Assortment-Stainless-Printer/dp/B0FG2D92BV/ref=mp_s_a_1_2_sspa?adgrpid=102083928466&amp;dib=eyJ2IjoiMSJ9.-e-4Ru8a5q9NGSIgfGsWiK2YBUSH18SE1D6xohq7FIXBFTzykgQbZPlpKN2i-89XN1p0jI1FjHIqhD5udQF0S2OTilXiyqIUyY76eRW5khsae1CCEYE6JxtVb77J3i54m-oIPPMUKkUi7Wfq1aca_AmuyzgxinnMK3epiJ3K6cJswq985B5B18xTcrtDidBXGYviVSpecdXZ2sq2Bvv9Ng.d_-pQyAvUP86M-KB_Y-y2gwSv3aPCU6l0eQTEnQ7A4s&amp;dib_tag=se&amp;hvadid=664749623728&amp;hvdev=m&amp;hvexpln=0&amp;hvlocphy=1021721&amp;hvnetw=g&amp;hvocijid=17508462074066473313--&amp;hvqmt=e&amp;hvrand=17508462074066473313&amp;hvtargid=kwd-1294003682051&amp;hydadcr=21695_13485445&amp;keywords=m4+screws+amazon&amp;mcid=1f3246c8397d32549b6c673e90059af0&amp;qid=1764390179&amp;sr=8-2-spons&amp;sp_csd=d2lkZ2V0TmFtZT1zcF9waG9uZV9zZWFyY2hfYXRm&amp;psc=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</si>
</sst>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color rgb="FF434343"/>
      <name val="Roboto"/>
    </font>
    <font>
      <u/>
      <color rgb="FF0000FF"/>
      <name val="Roboto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2" fontId="1" numFmtId="164" xfId="0" applyFill="1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1" numFmtId="164" xfId="0" applyFill="1" applyFont="1" applyNumberFormat="1"/>
    <xf borderId="0" fillId="4" fontId="1" numFmtId="164" xfId="0" applyFill="1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5" fontId="1" numFmtId="164" xfId="0" applyFill="1" applyFont="1" applyNumberFormat="1"/>
    <xf borderId="0" fillId="0" fontId="5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2:G29" displayName="Table1" name="Table1" id="1">
  <tableColumns count="5">
    <tableColumn name="Item" id="1"/>
    <tableColumn name="cost" id="2"/>
    <tableColumn name="quantity" id="3"/>
    <tableColumn name="total cost" id="4"/>
    <tableColumn name="URL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DNFCJ77H/ref=sspa_dk_detail_4?pd_rd_i=B0DNFCJ77H&amp;pd_rd_w=leZv1&amp;content-id=amzn1.sym.386c274b-4bfe-4421-9052-a1a56db557ab&amp;pf_rd_p=386c274b-4bfe-4421-9052-a1a56db557ab&amp;pf_rd_r=5T7CYXCK2CD51A0F9S29&amp;pd_rd_wg=EQcXD&amp;pd_rd_r=39c33a58-8f06-4eac-a308-2f1174b02b4c&amp;sp_csd=d2lkZ2V0TmFtZT1zcF9kZXRhaWxfdGhlbWF0aWM&amp;th=1" TargetMode="External"/><Relationship Id="rId22" Type="http://schemas.openxmlformats.org/officeDocument/2006/relationships/hyperlink" Target="https://www.amazon.com/SHKI/dp/B09PKD8QZZ/ref=sr_1_3?dib=eyJ2IjoiMSJ9.haGZ_PDV2P1p2xM5XTHZOPBuPDvL5uAtAJF5ZpSoipm_sHR5oIiEyo_NJ0YU6QlE0a5tf5JCLYvxBv3FXIeidOzoJIiPw54mn-7MbkHg4zb3zbSajk61FhbqQwvqm3Fq9lS3aGUdLuNkAlosvhPqQahT0ymvZ3wtXSEHot-TzXvhEL60CvPTbPsNImXqmBjInO7emIZDbOvUEH8kctaQ9QZkdDzXSxLrvhBcbiZ6W4s.dNCW3_jKNM8TlWreLIHAWt2JzYopmnOk-QYNMNTvnaw&amp;dib_tag=se&amp;keywords=bearings&amp;qid=1764278454&amp;sr=8-3&amp;th=1" TargetMode="External"/><Relationship Id="rId21" Type="http://schemas.openxmlformats.org/officeDocument/2006/relationships/hyperlink" Target="https://www.amazon.com/Upgraded-Waterproof-Standard-YNZDRWA-Holders/dp/B0D7D25G62/ref=sr_1_3?crid=W94UNTAT2V7E&amp;dib=eyJ2IjoiMSJ9.ngDtbRNOMHo5OU1zn7-rSOGUNrqublOBCdRhXnhiBeaMrYuT5-voH4J3UAESbil1REMhYSXHMPs6ATfvqhw1Qb9vsf4zvCdKP58PioaGiN5uG-IRD6jW6HexDHHbYz9LZpI_YbRUZzicBhOIupO_vlj0dpO5tKPfLtcS7a7_QKEmzcm3332cFEcuC5WsvGRrMLEHXyd4iVaY0t2onDCkdpkmNY1c1srVAfdjf8Zikws.XTHbR862DK-Xjn_lp0OeDpu1wa8qI-9xn_6KCW4FszM&amp;dib_tag=se&amp;keywords=automotive+fuse+holders&amp;qid=1763444351&amp;sprefix=automotive+fuse+holde%2Caps%2C218&amp;sr=8-3" TargetMode="External"/><Relationship Id="rId24" Type="http://schemas.openxmlformats.org/officeDocument/2006/relationships/hyperlink" Target="https://vilros.com/products/raspberry-pi-4-model-b-1?variant=40820184744030" TargetMode="External"/><Relationship Id="rId23" Type="http://schemas.openxmlformats.org/officeDocument/2006/relationships/hyperlink" Target="https://www.robotshop.com/products/rplidar-a2m12-360-laser-range-scanner?srsltid=AfmBOoqTT4no1DPrQ6PXUhi0Q2IxvIDjTq2nKRJwAygj-XJC8PGviDw3" TargetMode="External"/><Relationship Id="rId1" Type="http://schemas.openxmlformats.org/officeDocument/2006/relationships/hyperlink" Target="https://www.amazon.com/ESP-WROOM-32-Development-Microcontroller-Integrated-Compatible/dp/B08D5ZD528?th=1" TargetMode="External"/><Relationship Id="rId2" Type="http://schemas.openxmlformats.org/officeDocument/2006/relationships/hyperlink" Target="https://www.robotshop.com/products/servocity-48mm-grid-track-24mm-pitch-48mm-width-6-pack?pr_prod_strat=e5_desc&amp;pr_rec_id=7dcba0a92&amp;pr_rec_pid=14775014228332&amp;pr_ref_pid=14775014490476&amp;pr_seq=uniform" TargetMode="External"/><Relationship Id="rId3" Type="http://schemas.openxmlformats.org/officeDocument/2006/relationships/hyperlink" Target="https://www.servocity.com/118-rpm-hd-premium-planetary-gear-motor/" TargetMode="External"/><Relationship Id="rId4" Type="http://schemas.openxmlformats.org/officeDocument/2006/relationships/hyperlink" Target="https://www.amazon.com/uxcell-Double-Torque-Reduction-Gearbox/dp/B078VTXSVY/ref=sr_1_1?crid=1G2099UVJ3SUR&amp;dib=eyJ2IjoiMSJ9.5RmDrOal7UNmEycYOGsHTnP5pjme3o3lg0no3h-PVbRW8tMADG6br3qyZc-6hBi-_XbTVHutZS3d-3fzkZJ7ysSihi1eyBQJKat1lSLN3ZlVAjBMee3GNK3I0zoHLFIn2-MONXRE3PlyPjHE8MMnABiTxb8q5tsFjjykqIsoQwa57vuvECDsgGB5jpOSQl7PmXJ6iLICR0DJHHe8rTLKcoDaJACG3QPP5GBUgdBupt36zWQCPJzyiTtSj74YewWoHsn8EDzfp4ggxCaYyU6gloq_w8Sjf8AyztAhMcFeEgU.JMhD46oAc1RvG0-cZ-N6e5zA8JGVL7wA3dXjJqseQqU&amp;dib_tag=se&amp;keywords=24v%2Bworm%2Bduel%2Bshaft%2Bgear%2Bmotor&amp;qid=1762662603&amp;sprefix=24v%2Bworm%2Bduel%2Bshaftgear%2Bmotor%2Caps%2C166&amp;sr=8-1&amp;th=1" TargetMode="External"/><Relationship Id="rId9" Type="http://schemas.openxmlformats.org/officeDocument/2006/relationships/hyperlink" Target="https://www.amazon.com/TMH-Connector-Female-Connectors-Battery/dp/B0D35B8JWG/ref=sr_1_2_sspa?crid=3H9UKAAIS76IY&amp;dib=eyJ2IjoiMSJ9.R41iBTDwIm3wLXFBfh8z5j1-OytKMtZLB5YCQCseE8ia1OkapX0ZnhIgrZJ3PHsm_iOPJ0gJsYDXJhqwwsF3N5SATE4-JqrNKnqw1Bt9fTSF5Z2ZbsEcVjuJnTvSqnq50X-GGTW9lajkAgHAPtstJ4mqH6PJ06wRwv0i7SZL9O176u92RJdmgAW_BY6R6zEeKtrwfHxIOXkNpQq7CMgsdrqj8VPaQEEYxqjBv22oavdDf-1UEMlaxC5MI_l-2cTcaL_r91X-TYzimgCKAdhjNCkP16VL7gJjqMkYNM9-3yQ.i3AQhpwaqc1oe8aSyRL0Fe9AY99GW-CHVVcTxssOfEI&amp;dib_tag=se&amp;keywords=XT60%2Bfemale&amp;qid=1762501159&amp;refinements=p_36%3A-600&amp;rnid=2661611011&amp;sprefix=xt60%2Bfemal%2Caps%2C180&amp;sr=8-2-spons&amp;sp_csd=d2lkZ2V0TmFtZT1zcF9hdGY&amp;th=1" TargetMode="External"/><Relationship Id="rId26" Type="http://schemas.openxmlformats.org/officeDocument/2006/relationships/hyperlink" Target="https://www.amazon.com/Fgruh-Washers-Assortment-Stainless-Printer/dp/B0FG2D92BV/ref=mp_s_a_1_2_sspa?adgrpid=102083928466&amp;dib=eyJ2IjoiMSJ9.-e-4Ru8a5q9NGSIgfGsWiK2YBUSH18SE1D6xohq7FIXBFTzykgQbZPlpKN2i-89XN1p0jI1FjHIqhD5udQF0S2OTilXiyqIUyY76eRW5khsae1CCEYE6JxtVb77J3i54m-oIPPMUKkUi7Wfq1aca_AmuyzgxinnMK3epiJ3K6cJswq985B5B18xTcrtDidBXGYviVSpecdXZ2sq2Bvv9Ng.d_-pQyAvUP86M-KB_Y-y2gwSv3aPCU6l0eQTEnQ7A4s&amp;dib_tag=se&amp;hvadid=664749623728&amp;hvdev=m&amp;hvexpln=0&amp;hvlocphy=1021721&amp;hvnetw=g&amp;hvocijid=17508462074066473313--&amp;hvqmt=e&amp;hvrand=17508462074066473313&amp;hvtargid=kwd-1294003682051&amp;hydadcr=21695_13485445&amp;keywords=m4+screws+amazon&amp;mcid=1f3246c8397d32549b6c673e90059af0&amp;qid=1764390179&amp;sr=8-2-spons&amp;sp_csd=d2lkZ2V0TmFtZT1zcF9waG9uZV9zZWFyY2hfYXRm&amp;psc=1" TargetMode="External"/><Relationship Id="rId25" Type="http://schemas.openxmlformats.org/officeDocument/2006/relationships/hyperlink" Target="https://www.pishop.us/product/raspberry-pi-camera-module-3/?src=raspberrypi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amazon.com/Coupling-Connector-Coupler-Accessory-Fittings/dp/B08335MYGW/ref=pd_day0fbt_hardlines_thbs_d_sccl_1/141-3286737-7243118?pd_rd_w=Hx6EJ&amp;content-id=amzn1.sym.06aea998-aa9c-454e-b467-b476407c7977&amp;pf_rd_p=06aea998-aa9c-454e-b467-b476407c7977&amp;pf_rd_r=APXFED7YAKCMCEB3JA72&amp;pd_rd_wg=DarOk&amp;pd_rd_r=84bc0598-be3b-472a-a7fa-ac86a6e333b7&amp;pd_rd_i=B08335MYGW&amp;th=1" TargetMode="External"/><Relationship Id="rId6" Type="http://schemas.openxmlformats.org/officeDocument/2006/relationships/hyperlink" Target="https://www.amazon.com/JESSINIE-BTN7960-Driver-Arduino-Current/dp/B0C1C3LKKM/ref=sr_1_5_sspa?crid=3ECQTWPQJ05CR&amp;dib=eyJ2IjoiMSJ9.H8PovZro5hjo967P7VdL1-9bA6FEtEAiSzXUEP0f0EXGjHj071QN20LucGBJIEps.IHQSPMDGEtf-m-lBHp9jdMa6qT3Y9nrKXL4oN4173l0&amp;dib_tag=se&amp;keywords=bts+7960&amp;qid=1762500686&amp;s=electronics&amp;sprefix=bts+7960%2Celectronics%2C145&amp;sr=1-5-spons&amp;sp_csd=d2lkZ2V0TmFtZT1zcF9idGY&amp;psc=1" TargetMode="External"/><Relationship Id="rId29" Type="http://schemas.openxmlformats.org/officeDocument/2006/relationships/table" Target="../tables/table1.xml"/><Relationship Id="rId7" Type="http://schemas.openxmlformats.org/officeDocument/2006/relationships/hyperlink" Target="https://www.amazon.com/Zeee-Batteries-Connector-Helicopter-Quadcopter/dp/B0972RKJDS/ref=sr_1_8?crid=2XGB5P6T09TZ0&amp;dib=eyJ2IjoiMSJ9.v1FF2P4XIDs1FIQKUzDfUcxE64F96wg9Bb72gFdjRRqoVofJgVvzjZQMLe5Pk6iROI2PaFwdWk2dlpeomClEeoI9SLeaeZ2q_yH-eVUPJJCa-t8b3kuTKp_szDyFifY6GdoMo1jLXp_JdLv74gC7vuYpm7BzR2mPq5FMrD8IMFK1BF8IhypTS3pW46fhoZ_MBdDc6bgUWVyCnpyF-A2RcFfaAaeZ4S0LQzn-Gt5KbcqsQoXlDyLg1lq2lD-POLY8XVRSv6f6q97cMw2D0reConR9ptdWKicIisOgPpxyFQA.tKW52m4SXEK-GDPbdMKBsC_By3PjzTli3IpCbm3MmeE&amp;dib_tag=se&amp;keywords=12v+lipo+battery+s3&amp;qid=1762841090&amp;sprefix=12v+lipo+battery+s%2Caps%2C241&amp;sr=8-8" TargetMode="External"/><Relationship Id="rId8" Type="http://schemas.openxmlformats.org/officeDocument/2006/relationships/hyperlink" Target="https://www.amazon.com/Converter-Adjustable-Regulator-Voltmeter-Display%EF%BC%88Pack/dp/B0F1M2SR31/ref=sr_1_2_sspa?crid=3M8ST5GHCMT23&amp;dib=eyJ2IjoiMSJ9.uUtIWVmXQHabkPUwwmhYCo07FhDjUB34fCUmPUWvbCi_5OGdgnlgdIluH02tSxBd9ko5kN-AVlTrcmJCyxu3U7XZNWhtoU1EeioxJdTqyxL1a7tzFL4TBRZkTAIcLTSKeyX4lw42dcDeccofDsjWA5FoK4OuC4iyYuMi-1cmNeUkjNNIdzLxIle_Ab7H-MSIahrCI6BWVrIws1pZwmYGzCrbf8N-ttwt3ySYcmodEz0.rHr2tpIcNxhMmRLmhq56sQ0NWZY3yv2l9lBLPHSF43c&amp;dib_tag=se&amp;keywords=5v%2Bbuck%2Bconverter&amp;qid=1762501024&amp;sprefix=5v%2Bbuck%2B%2Caps%2C164&amp;sr=8-2-spons&amp;sp_csd=d2lkZ2V0TmFtZT1zcF9hdGY&amp;th=1" TargetMode="External"/><Relationship Id="rId11" Type="http://schemas.openxmlformats.org/officeDocument/2006/relationships/hyperlink" Target="https://www.amazon.com/MakerBeam-Regular-anodized-including-brackets/dp/B00BBH3LZC/ref=sr_1_2?dib=eyJ2IjoiMSJ9.VZ_z6fzEN2mPtTELsiu-NGgZl8u0umDm4okEIGOwl2rPOXwtDdG7u3NadB8TM_ytg2PmG2LKNEwPjdZtyObCJXMM5dbAI7iIq9EgGSpolbF8IRMAubDFiWS3ibNcvxfZdowxYYrsk1OYYHuqHpGUCX4uyF5guedURll2qaQOzKbkSCsaAQcdAcLDVRxU04z43ZUbz_e87Teb_p4PgO3bRHInl1KyLfDf-5HsKtw_46I.ZU3DnsBSXCXffxqp8wGHDJqL1SPpv_oLBpb882RsLvU&amp;dib_tag=se&amp;keywords=makerbeam&amp;qid=1762652539&amp;sr=8-2" TargetMode="External"/><Relationship Id="rId10" Type="http://schemas.openxmlformats.org/officeDocument/2006/relationships/hyperlink" Target="https://www.amazon.com/Gyroscope-Acceleration-Magnetic-Accelerator-Magnetometer/dp/B0B6ZRH4RQ/ref=sr_1_6?crid=ML2D3YPTED25&amp;dib=eyJ2IjoiMSJ9.fdsLNWhZyGlzR789Gj5VZI9JxZOEwu6ofdVgQxHwPUhK2sv170NTc8z5CaLZbp1hQ6ev9nMamltyrZJseaho5vivjU4M6-bZ5GaqtpwhNgjnvHSoAuJFWDBDwNFZI2HuXE6C9_66BbEWsMlF4RmrIUNEN7Fr1dXP3-xDT8qhlGb9XC7MbtC2P40YJDFhUc3GPEbShoutZVAHW_yUUy0WQRuH06chnbQMIuJq6F3CC1s.HRWrr9PB12UIKF1bXAXj1jd9QgOGF5WOENE1zWF6iOg&amp;dib_tag=se&amp;keywords=IMU&amp;qid=1762501299&amp;sprefix=imu%2Caps%2C202&amp;sr=8-6" TargetMode="External"/><Relationship Id="rId13" Type="http://schemas.openxmlformats.org/officeDocument/2006/relationships/hyperlink" Target="https://www.amazon.com/dp/B0BSVK8744/ref=sspa_dk_detail_right_aax_0?psc=1&amp;sp_csd=d2lkZ2V0TmFtZT1zcF9kZXRhaWxfcmlnaHRfc2hhcmVk" TargetMode="External"/><Relationship Id="rId12" Type="http://schemas.openxmlformats.org/officeDocument/2006/relationships/hyperlink" Target="https://www.amazon.com/Orange-Flat-Urethane-10ft-Section/dp/B0BSVKCQHR/ref=sr_1_3?crid=20DMW5O832EIU&amp;dib=eyJ2IjoiMSJ9.7wOiiveAQxnBgG842RlGjOj6T9HTdaBUXNp409cy1RjztRJHd-sNbm5fWc_EQm1FA9Ru3nJxiCC4XEoA7XPgukxt4qbmR9Pls0k44vcJj-mAMkgqkYM4Lj2d0o8DNVbJAefbW6XKXuJdTGhf_rXACDCSXe4u_TT68MPEC2afkAiDzOXbAK9LJumk2IZJDjgU4_-9iacceJyBwOs40GNlQWt5LZN5NPb9wxCOD7_8rzg.nkChQRA6LSo-Z_QZ20REEtQ-japPrDvmtm_Tp_t63E0&amp;dib_tag=se&amp;keywords=flat+urethane+belt&amp;qid=1762653013&amp;sprefix=flat+urethane+belt%2Caps%2C144&amp;sr=8-3" TargetMode="External"/><Relationship Id="rId15" Type="http://schemas.openxmlformats.org/officeDocument/2006/relationships/hyperlink" Target="https://www.amazon.com/Seeed-Studio-XIAO-ESP32-Sense/dp/B0C69FFVHH/ref=sr_1_1_sspa?dib=eyJ2IjoiMSJ9.uGzxDBI7mZMgoN1JZlfHtAyExzenaZDJfKxUhNcb7zmiZ6yei-ak3dbslOG0isDebU3qENsaP-1ji4vnjAJ5Tz7dmwar5BSyHFlS19LsV8IYuI8tkT71itN84NmCx95jskV25-ttcqHbYGPKnQ4t6F5H2x5MLK2t-Xe2IRcRQYI41fKZjAW3JlEubd5WI-j7Pi-VIG5gn1xA-kpj0T3R2RDe6_licNHOezhA3auPBFs.j_kxDjrhrNELOvtaO91SjuEuPczyjiUw78ir202DliY&amp;dib_tag=se&amp;keywords=ov2640&amp;qid=1762836453&amp;sr=8-1-spons&amp;sp_csd=d2lkZ2V0TmFtZT1zcF9hdGY&amp;th=1" TargetMode="External"/><Relationship Id="rId14" Type="http://schemas.openxmlformats.org/officeDocument/2006/relationships/hyperlink" Target="https://www.amazon.com/TOP-VIGOR-Stainless-Steel-Helicopter-Airplane/dp/B0CDQDS1BL/ref=sr_1_2_sspa?adgrpid=185084441223&amp;dib=eyJ2IjoiMSJ9.2Ma55forpp4jsCSF_ZWGmALTnc4l4yealXQjlUzbexEqRUEMnCgdn1FaN9N8kjCVoXx6pqxfdgTKAFebD3TP7nuDPhojxYEWjHsn5lkNvdFZ-G5D2gMv-WgBQSgEcdNhc3exyR8rAufqGAqKTZy1cihHPp_4FXk3MHWzADQ8NDaUcFZIZCb8Js2gV6oVKknjbVnAi_uRLXqKOGHsTvLZR-xfezGCLNlE04mRoSpjcsI.pYUnyQ-7d0BJCtNSqUJGPsHKNPbqlrRSAmti6N2XQcI&amp;dib_tag=se&amp;hvadid=779622218290&amp;hvdev=c&amp;hvexpln=0&amp;hvlocphy=1014301&amp;hvnetw=g&amp;hvocijid=3249315994886364687--&amp;hvqmt=b&amp;hvrand=3249315994886364687&amp;hvtargid=kwd-1960634484625&amp;hydadcr=10518_13489779_2116378&amp;keywords=8mm%2Bround%2Bshaft&amp;mcid=e933dd284348360995919aa082402817&amp;qid=1762821835&amp;sr=8-2-spons&amp;sp_csd=d2lkZ2V0TmFtZT1zcF9hdGY&amp;th=1" TargetMode="External"/><Relationship Id="rId17" Type="http://schemas.openxmlformats.org/officeDocument/2006/relationships/hyperlink" Target="https://www.amazon.com/B6-Battery-Charger-Discharger-Connectors/dp/B0F2H3XR6S/ref=sr_1_5?dib=eyJ2IjoiMSJ9.J6NiIRdBbpHM7Z7CPaXDYzw_esRBHNoXOl_DiUOlAV-XOKgIS2tf8fGl7tT6kekDEHyPrKOAttjRb2OG-mJxhlXXjV-6yZeQLR7UJShfzpCMnCJb5X5fVt9GzooKxA2JcvDmBHAJCMzhUDjpNgJMWT0XFLd7QLhRklsUhbyIZyIdyvzcUht0FokxWVI5my3_yB18thtJKzCn3aqnsE0rK6pDmWMFzKPYkju7oNZGNAM7v4CiwAcPNpIhqUbD-Hm2w1aj3vkgKGO3_XT8O51ZTJB2I4ma84S_Wfz3OkJy-nI.OhBwqrtsQ0x1nt0s29_6oxNbuaCqKyQinWD7iPeDMcc&amp;dib_tag=se&amp;hvadid=409999371050&amp;hvdev=c&amp;hvexpln=0&amp;hvlocphy=1014301&amp;hvnetw=g&amp;hvocijid=1875226462794755465--&amp;hvqmt=e&amp;hvrand=1875226462794755465&amp;hvtargid=kwd-4059425871&amp;hydadcr=24634_11410133&amp;keywords=lipo+balance+charger&amp;mcid=ce071b49fd3d3a87a36e652538b443ca&amp;qid=1763236620&amp;sr=8-5" TargetMode="External"/><Relationship Id="rId16" Type="http://schemas.openxmlformats.org/officeDocument/2006/relationships/hyperlink" Target="https://www.amazon.com/Standoff-Threaded-Motherboard-Assortment-Mounting/dp/B06XQ33Y9X/ref=sr_1_10?crid=1RD71UHQZQ3KM&amp;dib=eyJ2IjoiMSJ9.yhbYgyCr_kLJjID-zSMEeS54DTzkLBmaNtYY0BIWghrC2dZ0nheptCSHdBGI99XUTozBo_2yTAZPp0Lt867arpvlqYVohTljYag6krBmAq2ELvXrxDU9ZB5HOBSkhmHCUmvLbR8jujRw0HFP5QZmGMYQBJTc4UjIPF4gTn0YUt6Prk1_-ObwKGbOvNCsO-z4YMg8PVRxLwVhwm5zjOioohGwWgxjYPflNX--hnhIvUQ.5mIKQhJX8BvXETWwugdTcIHvaqpExLbtjd_CvX-rYJ4&amp;dib_tag=se&amp;keywords=m3%2Bbrass%2Bstandoff&amp;qid=1762840470&amp;sprefix=m3%2Bbrass%2Bstan%2Caps%2C260&amp;sr=8-10&amp;th=1" TargetMode="External"/><Relationship Id="rId19" Type="http://schemas.openxmlformats.org/officeDocument/2006/relationships/hyperlink" Target="https://www.amazon.com/Soldering-Adjustable-Temperature-Controlled-Thermostatic/dp/B0BYT9S65Y/ref=sr_1_12?crid=217O430H9XXYJ&amp;dib=eyJ2IjoiMSJ9.MNB3HuUsZOjz1NSstYQ0xbOGTmPLrbHNY-odksd0ftepvCOHMyB6_ejB7kYNDgX1WsfIWpuXJVJbH0QRmo8aM50N5jyIzeiU-cmSGSu-YMC8utEByU6f3hWPUi85QySfrdVBcmVPaZTd-IHjcR8ZCYuwkk0XJGH3dR-yRaXR6t41PaXTMi1uDGqhDzx0etHkPpjHP2Al6mPN9H-sMI8RpMkW489VVQ9PP_FbwWoZyly-SFXpDON5GT1QUSCrib8-e3456gvqHsb99t0TtQ3impxTrKlpHMeMVspAEjLlUJE.ZNhH-oQzdBmxw3m0CTA3S_vUD8UOtZlrWZ8FYCdKfgY&amp;dib_tag=se&amp;keywords=soldering%2Biron%2Bkit&amp;qid=1763237215&amp;sprefix=soldering%2B%2Caps%2C186&amp;sr=8-12&amp;th=1" TargetMode="External"/><Relationship Id="rId18" Type="http://schemas.openxmlformats.org/officeDocument/2006/relationships/hyperlink" Target="https://www.amazon.com/EDGELEC-Breadboard-Optional-Assorted-Multicolored/dp/B07GD2BWPY/ref=sr_1_1_sspa?crid=29GEJ941ACYKB&amp;dib=eyJ2IjoiMSJ9._--XVj7sIVPW5Oud9uWtGeNsF9qon6YmKD5fD7sPxAjPVwbGPdaMdRS75S4WHoHhH_HivNmGnyGV0cZIX2JQMYZJXQRd4l_6oEMQ4h-WWTwWCUA-UKhjbHcu_ekSE45A6xoNvLV95OruIb1TJrkOmQwjrK5k7PyXshGlBPOpI2FXv6y0eJDvt9P0EfZW5tk_3j5dToPf4JXnwn9smDVyqbAc0HuSewgYOPZ2zu3o3YA.Iu25oSJxMEDRE1hVyQVX4UEX6Wqv1blbnZRSzGZamgY&amp;dib_tag=se&amp;keywords=breadboard%2Bwires&amp;qid=1763236866&amp;sprefix=breadboard%2Bwires%2Caps%2C198&amp;sr=8-1-spons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3" max="3" width="20.38"/>
    <col customWidth="1" min="5" max="5" width="14.75"/>
    <col customWidth="1" min="6" max="6" width="15.75"/>
    <col customWidth="1" min="7" max="7" width="101.88"/>
  </cols>
  <sheetData>
    <row r="2" ht="22.5" customHeight="1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</row>
    <row r="3" ht="22.5" customHeight="1">
      <c r="A3" s="2" t="s">
        <v>5</v>
      </c>
      <c r="B3" s="3">
        <f>SUM(F3,F4,F5,F6,F7,F8,F9,F12,F13,F14,F15,F16,F17,F18)</f>
        <v>448.53</v>
      </c>
      <c r="C3" s="4" t="s">
        <v>6</v>
      </c>
      <c r="D3" s="5">
        <v>16.0</v>
      </c>
      <c r="E3" s="6">
        <v>1.0</v>
      </c>
      <c r="F3" s="7">
        <f t="shared" ref="F3:F4" si="1">PRODUCT(D3:E3)</f>
        <v>16</v>
      </c>
      <c r="G3" s="8" t="s">
        <v>7</v>
      </c>
    </row>
    <row r="4" ht="22.5" customHeight="1">
      <c r="A4" s="2" t="s">
        <v>8</v>
      </c>
      <c r="B4" s="9">
        <f>SUM(B3,F10,F11,F19,F20,F21,F23,F24)</f>
        <v>545.07</v>
      </c>
      <c r="C4" s="4" t="s">
        <v>9</v>
      </c>
      <c r="D4" s="5">
        <v>7.0</v>
      </c>
      <c r="E4" s="6">
        <v>0.0</v>
      </c>
      <c r="F4" s="7">
        <f t="shared" si="1"/>
        <v>0</v>
      </c>
      <c r="G4" s="8" t="s">
        <v>10</v>
      </c>
    </row>
    <row r="5" ht="22.5" customHeight="1">
      <c r="A5" s="2" t="s">
        <v>11</v>
      </c>
      <c r="B5" s="10">
        <f>SUM(F:F)</f>
        <v>825.07</v>
      </c>
      <c r="C5" s="4" t="s">
        <v>12</v>
      </c>
      <c r="D5" s="5">
        <v>40.0</v>
      </c>
      <c r="E5" s="6">
        <v>2.0</v>
      </c>
      <c r="F5" s="11">
        <v>80.0</v>
      </c>
      <c r="G5" s="12" t="s">
        <v>13</v>
      </c>
    </row>
    <row r="6" ht="22.5" customHeight="1">
      <c r="C6" s="4" t="s">
        <v>14</v>
      </c>
      <c r="D6" s="5">
        <v>27.0</v>
      </c>
      <c r="E6" s="6">
        <v>1.0</v>
      </c>
      <c r="F6" s="7">
        <f t="shared" ref="F6:F27" si="2">PRODUCT(D6:E6)</f>
        <v>27</v>
      </c>
      <c r="G6" s="13" t="s">
        <v>15</v>
      </c>
    </row>
    <row r="7" ht="22.5" customHeight="1">
      <c r="A7" s="2" t="s">
        <v>16</v>
      </c>
      <c r="B7" s="14">
        <f>SUM(F15,F14,F17)</f>
        <v>88.76</v>
      </c>
      <c r="C7" s="4" t="s">
        <v>17</v>
      </c>
      <c r="D7" s="5">
        <v>8.0</v>
      </c>
      <c r="E7" s="6">
        <v>1.0</v>
      </c>
      <c r="F7" s="7">
        <f t="shared" si="2"/>
        <v>8</v>
      </c>
      <c r="G7" s="13" t="s">
        <v>18</v>
      </c>
    </row>
    <row r="8" ht="22.5" customHeight="1">
      <c r="C8" s="4" t="s">
        <v>19</v>
      </c>
      <c r="D8" s="5">
        <v>18.77</v>
      </c>
      <c r="E8" s="6">
        <v>1.0</v>
      </c>
      <c r="F8" s="7">
        <f t="shared" si="2"/>
        <v>18.77</v>
      </c>
      <c r="G8" s="12" t="s">
        <v>20</v>
      </c>
    </row>
    <row r="9" ht="22.5" customHeight="1">
      <c r="C9" s="4" t="s">
        <v>21</v>
      </c>
      <c r="D9" s="5">
        <v>35.0</v>
      </c>
      <c r="E9" s="6">
        <v>1.0</v>
      </c>
      <c r="F9" s="7">
        <f t="shared" si="2"/>
        <v>35</v>
      </c>
      <c r="G9" s="15" t="s">
        <v>22</v>
      </c>
    </row>
    <row r="10" ht="22.5" customHeight="1">
      <c r="C10" s="16" t="s">
        <v>23</v>
      </c>
      <c r="D10" s="5">
        <v>7.0</v>
      </c>
      <c r="E10" s="6">
        <v>1.0</v>
      </c>
      <c r="F10" s="7">
        <f t="shared" si="2"/>
        <v>7</v>
      </c>
      <c r="G10" s="13" t="s">
        <v>24</v>
      </c>
    </row>
    <row r="11" ht="22.5" customHeight="1">
      <c r="C11" s="16" t="s">
        <v>25</v>
      </c>
      <c r="D11" s="5">
        <v>6.0</v>
      </c>
      <c r="E11" s="6">
        <v>1.0</v>
      </c>
      <c r="F11" s="7">
        <f t="shared" si="2"/>
        <v>6</v>
      </c>
      <c r="G11" s="8" t="s">
        <v>26</v>
      </c>
    </row>
    <row r="12" ht="22.5" customHeight="1">
      <c r="C12" s="4" t="s">
        <v>27</v>
      </c>
      <c r="D12" s="5">
        <v>16.0</v>
      </c>
      <c r="E12" s="6">
        <v>1.0</v>
      </c>
      <c r="F12" s="7">
        <f t="shared" si="2"/>
        <v>16</v>
      </c>
      <c r="G12" s="13" t="s">
        <v>28</v>
      </c>
    </row>
    <row r="13" ht="22.5" customHeight="1">
      <c r="C13" s="4" t="s">
        <v>29</v>
      </c>
      <c r="D13" s="5">
        <v>141.0</v>
      </c>
      <c r="E13" s="6">
        <v>1.0</v>
      </c>
      <c r="F13" s="7">
        <f t="shared" si="2"/>
        <v>141</v>
      </c>
      <c r="G13" s="8" t="s">
        <v>30</v>
      </c>
    </row>
    <row r="14" ht="22.5" customHeight="1">
      <c r="C14" s="4" t="s">
        <v>31</v>
      </c>
      <c r="D14" s="5">
        <v>26.0</v>
      </c>
      <c r="E14" s="6">
        <v>1.0</v>
      </c>
      <c r="F14" s="7">
        <f t="shared" si="2"/>
        <v>26</v>
      </c>
      <c r="G14" s="8" t="s">
        <v>32</v>
      </c>
    </row>
    <row r="15" ht="22.5" customHeight="1">
      <c r="C15" s="4" t="s">
        <v>33</v>
      </c>
      <c r="D15" s="5">
        <v>38.76</v>
      </c>
      <c r="E15" s="6">
        <v>1.0</v>
      </c>
      <c r="F15" s="7">
        <f t="shared" si="2"/>
        <v>38.76</v>
      </c>
      <c r="G15" s="8" t="s">
        <v>34</v>
      </c>
    </row>
    <row r="16" ht="22.5" customHeight="1">
      <c r="C16" s="4" t="s">
        <v>35</v>
      </c>
      <c r="D16" s="5">
        <v>9.0</v>
      </c>
      <c r="E16" s="6">
        <v>1.0</v>
      </c>
      <c r="F16" s="7">
        <f t="shared" si="2"/>
        <v>9</v>
      </c>
      <c r="G16" s="13" t="s">
        <v>36</v>
      </c>
    </row>
    <row r="17" ht="22.5" customHeight="1">
      <c r="C17" s="4" t="s">
        <v>37</v>
      </c>
      <c r="D17" s="5">
        <v>24.0</v>
      </c>
      <c r="E17" s="6">
        <v>1.0</v>
      </c>
      <c r="F17" s="7">
        <f t="shared" si="2"/>
        <v>24</v>
      </c>
      <c r="G17" s="12" t="s">
        <v>38</v>
      </c>
    </row>
    <row r="18" ht="22.5" customHeight="1">
      <c r="C18" s="4" t="s">
        <v>39</v>
      </c>
      <c r="D18" s="5">
        <v>9.0</v>
      </c>
      <c r="E18" s="6">
        <v>1.0</v>
      </c>
      <c r="F18" s="7">
        <f t="shared" si="2"/>
        <v>9</v>
      </c>
      <c r="G18" s="12" t="s">
        <v>40</v>
      </c>
    </row>
    <row r="19" ht="22.5" customHeight="1">
      <c r="C19" s="16" t="s">
        <v>41</v>
      </c>
      <c r="D19" s="5">
        <v>36.54</v>
      </c>
      <c r="E19" s="6">
        <v>1.0</v>
      </c>
      <c r="F19" s="7">
        <f t="shared" si="2"/>
        <v>36.54</v>
      </c>
      <c r="G19" s="12" t="s">
        <v>42</v>
      </c>
    </row>
    <row r="20" ht="22.5" customHeight="1">
      <c r="C20" s="16" t="s">
        <v>43</v>
      </c>
      <c r="D20" s="5">
        <v>7.0</v>
      </c>
      <c r="E20" s="6">
        <v>1.0</v>
      </c>
      <c r="F20" s="7">
        <f t="shared" si="2"/>
        <v>7</v>
      </c>
      <c r="G20" s="12" t="s">
        <v>44</v>
      </c>
    </row>
    <row r="21" ht="22.5" customHeight="1">
      <c r="C21" s="16" t="s">
        <v>45</v>
      </c>
      <c r="D21" s="5">
        <v>25.0</v>
      </c>
      <c r="E21" s="6">
        <v>1.0</v>
      </c>
      <c r="F21" s="7">
        <f t="shared" si="2"/>
        <v>25</v>
      </c>
      <c r="G21" s="13" t="s">
        <v>46</v>
      </c>
    </row>
    <row r="22" ht="22.5" customHeight="1">
      <c r="C22" s="4" t="s">
        <v>47</v>
      </c>
      <c r="D22" s="5">
        <v>27.0</v>
      </c>
      <c r="E22" s="6">
        <v>0.0</v>
      </c>
      <c r="F22" s="7">
        <f t="shared" si="2"/>
        <v>0</v>
      </c>
      <c r="G22" s="13" t="s">
        <v>48</v>
      </c>
    </row>
    <row r="23" ht="22.5" customHeight="1">
      <c r="C23" s="16" t="s">
        <v>49</v>
      </c>
      <c r="D23" s="5">
        <v>8.0</v>
      </c>
      <c r="E23" s="6">
        <v>1.0</v>
      </c>
      <c r="F23" s="7">
        <f t="shared" si="2"/>
        <v>8</v>
      </c>
      <c r="G23" s="13" t="s">
        <v>50</v>
      </c>
    </row>
    <row r="24" ht="22.5" customHeight="1">
      <c r="C24" s="16" t="s">
        <v>51</v>
      </c>
      <c r="D24" s="5">
        <v>7.0</v>
      </c>
      <c r="E24" s="6">
        <v>1.0</v>
      </c>
      <c r="F24" s="7">
        <f t="shared" si="2"/>
        <v>7</v>
      </c>
      <c r="G24" s="13" t="s">
        <v>52</v>
      </c>
    </row>
    <row r="25" ht="22.5" customHeight="1">
      <c r="C25" s="17" t="s">
        <v>53</v>
      </c>
      <c r="D25" s="5">
        <v>280.0</v>
      </c>
      <c r="E25" s="6">
        <v>1.0</v>
      </c>
      <c r="F25" s="7">
        <f t="shared" si="2"/>
        <v>280</v>
      </c>
      <c r="G25" s="13" t="s">
        <v>54</v>
      </c>
    </row>
    <row r="26" ht="22.5" customHeight="1">
      <c r="C26" s="17" t="s">
        <v>55</v>
      </c>
      <c r="D26" s="5">
        <v>100.0</v>
      </c>
      <c r="E26" s="6">
        <v>0.0</v>
      </c>
      <c r="F26" s="7">
        <f t="shared" si="2"/>
        <v>0</v>
      </c>
      <c r="G26" s="13" t="s">
        <v>56</v>
      </c>
    </row>
    <row r="27" ht="22.5" customHeight="1">
      <c r="C27" s="17" t="s">
        <v>57</v>
      </c>
      <c r="D27" s="5">
        <v>28.0</v>
      </c>
      <c r="E27" s="6">
        <v>0.0</v>
      </c>
      <c r="F27" s="7">
        <f t="shared" si="2"/>
        <v>0</v>
      </c>
      <c r="G27" s="13" t="s">
        <v>58</v>
      </c>
    </row>
    <row r="28" ht="22.5" customHeight="1">
      <c r="C28" s="18" t="s">
        <v>59</v>
      </c>
      <c r="D28" s="19"/>
      <c r="E28" s="20"/>
      <c r="F28" s="7"/>
      <c r="G28" s="21" t="s">
        <v>60</v>
      </c>
    </row>
    <row r="29" ht="22.5" customHeight="1">
      <c r="D29" s="22"/>
      <c r="E29" s="23"/>
      <c r="F29" s="7"/>
    </row>
  </sheetData>
  <dataValidations>
    <dataValidation type="custom" allowBlank="1" showDropDown="1" sqref="D3:F29">
      <formula1>AND(ISNUMBER(D3),(NOT(OR(NOT(ISERROR(DATEVALUE(D3))), AND(ISNUMBER(D3), LEFT(CELL("format", D3))="D")))))</formula1>
    </dataValidation>
  </dataValidation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</hyperlinks>
  <drawing r:id="rId27"/>
  <tableParts count="1">
    <tablePart r:id="rId29"/>
  </tableParts>
</worksheet>
</file>